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PARGP" sheetId="2" state="visible" r:id="rId2"/>
    <sheet xmlns:r="http://schemas.openxmlformats.org/officeDocument/2006/relationships" name="PAR_HK" sheetId="3" state="visible" r:id="rId3"/>
    <sheet xmlns:r="http://schemas.openxmlformats.org/officeDocument/2006/relationships" name="PAR_SY" sheetId="4" state="visible" r:id="rId4"/>
    <sheet xmlns:r="http://schemas.openxmlformats.org/officeDocument/2006/relationships" name="PAR_RCH" sheetId="5" state="visible" r:id="rId5"/>
    <sheet xmlns:r="http://schemas.openxmlformats.org/officeDocument/2006/relationships" name="OBS_HEAD" sheetId="6" state="visible" r:id="rId6"/>
    <sheet xmlns:r="http://schemas.openxmlformats.org/officeDocument/2006/relationships" name="OBS_FLOW" sheetId="7" state="visible" r:id="rId7"/>
    <sheet xmlns:r="http://schemas.openxmlformats.org/officeDocument/2006/relationships" name="IO" sheetId="8" state="visible" r:id="rId8"/>
    <sheet xmlns:r="http://schemas.openxmlformats.org/officeDocument/2006/relationships" name="PPcntl" sheetId="9" state="visible" r:id="rId9"/>
    <sheet xmlns:r="http://schemas.openxmlformats.org/officeDocument/2006/relationships" name="BUIL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NAME</t>
        </is>
      </c>
      <c r="C1" t="inlineStr">
        <is>
          <t>DEFAULT</t>
        </is>
      </c>
      <c r="D1" t="inlineStr">
        <is>
          <t>VALUE</t>
        </is>
      </c>
    </row>
    <row r="2">
      <c r="A2" t="n">
        <v>2</v>
      </c>
      <c r="B2" t="inlineStr">
        <is>
          <t>pestmode</t>
        </is>
      </c>
      <c r="C2" t="inlineStr">
        <is>
          <t>estimation</t>
        </is>
      </c>
      <c r="D2" t="inlineStr">
        <is>
          <t>estimation</t>
        </is>
      </c>
    </row>
    <row r="3">
      <c r="A3" t="n">
        <v>2</v>
      </c>
      <c r="B3" t="inlineStr">
        <is>
          <t>rstfle</t>
        </is>
      </c>
      <c r="C3" t="inlineStr">
        <is>
          <t>restart</t>
        </is>
      </c>
      <c r="D3" t="inlineStr">
        <is>
          <t>restart</t>
        </is>
      </c>
    </row>
    <row r="4">
      <c r="A4" t="n">
        <v>4</v>
      </c>
      <c r="B4" t="inlineStr">
        <is>
          <t>precis</t>
        </is>
      </c>
      <c r="C4" t="inlineStr">
        <is>
          <t>single</t>
        </is>
      </c>
      <c r="D4" t="inlineStr">
        <is>
          <t>double</t>
        </is>
      </c>
    </row>
    <row r="5">
      <c r="A5" t="n">
        <v>5</v>
      </c>
      <c r="B5" t="inlineStr">
        <is>
          <t>rlambda1</t>
        </is>
      </c>
      <c r="C5" t="n">
        <v>10</v>
      </c>
      <c r="D5" t="n">
        <v>20</v>
      </c>
    </row>
    <row r="6">
      <c r="A6" t="n">
        <v>5</v>
      </c>
      <c r="B6" t="inlineStr">
        <is>
          <t>rlamfac</t>
        </is>
      </c>
      <c r="C6" t="n">
        <v>2</v>
      </c>
      <c r="D6" t="n">
        <v>2</v>
      </c>
    </row>
    <row r="7">
      <c r="A7" t="n">
        <v>5</v>
      </c>
      <c r="B7" t="inlineStr">
        <is>
          <t>jacupdate</t>
        </is>
      </c>
      <c r="C7" t="n">
        <v>0</v>
      </c>
      <c r="D7" t="n">
        <v>999</v>
      </c>
    </row>
    <row r="8">
      <c r="A8" t="n">
        <v>5</v>
      </c>
      <c r="B8" t="inlineStr">
        <is>
          <t>lamforgive</t>
        </is>
      </c>
      <c r="C8" t="inlineStr">
        <is>
          <t>nolamforgive</t>
        </is>
      </c>
      <c r="D8" t="inlineStr">
        <is>
          <t>lamforgive</t>
        </is>
      </c>
    </row>
    <row r="9">
      <c r="A9" t="n">
        <v>5</v>
      </c>
      <c r="B9" t="inlineStr">
        <is>
          <t>win_mrun_hours</t>
        </is>
      </c>
      <c r="D9" t="n">
        <v>1.5</v>
      </c>
    </row>
    <row r="10">
      <c r="A10" t="n">
        <v>5</v>
      </c>
      <c r="B10" t="inlineStr">
        <is>
          <t>uptestmin</t>
        </is>
      </c>
      <c r="D10" t="n">
        <v>70</v>
      </c>
    </row>
    <row r="11">
      <c r="A11" t="n">
        <v>6</v>
      </c>
      <c r="B11" t="inlineStr">
        <is>
          <t>relparmax</t>
        </is>
      </c>
      <c r="C11" t="n">
        <v>3</v>
      </c>
      <c r="D11" t="n">
        <v>3</v>
      </c>
    </row>
    <row r="12">
      <c r="A12" t="n">
        <v>6</v>
      </c>
      <c r="B12" t="inlineStr">
        <is>
          <t>facparmax</t>
        </is>
      </c>
      <c r="C12" t="n">
        <v>3</v>
      </c>
      <c r="D12" t="n">
        <v>3</v>
      </c>
    </row>
    <row r="13">
      <c r="A13" t="n">
        <v>6</v>
      </c>
      <c r="B13" t="inlineStr">
        <is>
          <t>absparmax</t>
        </is>
      </c>
      <c r="D13" t="inlineStr">
        <is>
          <t>absparmax(1)=0.1 absparmax(2)=20</t>
        </is>
      </c>
    </row>
    <row r="14">
      <c r="A14" t="n">
        <v>7</v>
      </c>
      <c r="B14" t="inlineStr">
        <is>
          <t>doaui</t>
        </is>
      </c>
      <c r="D14" t="inlineStr">
        <is>
          <t>noaui</t>
        </is>
      </c>
    </row>
    <row r="15">
      <c r="A15" t="n">
        <v>8</v>
      </c>
      <c r="B15" t="inlineStr">
        <is>
          <t>noptmax</t>
        </is>
      </c>
      <c r="C15" t="n">
        <v>1</v>
      </c>
      <c r="D15" t="n">
        <v>10</v>
      </c>
    </row>
    <row r="16">
      <c r="A16" t="n">
        <v>8</v>
      </c>
      <c r="B16" t="inlineStr">
        <is>
          <t>phiredstp</t>
        </is>
      </c>
      <c r="C16" t="n">
        <v>0.005</v>
      </c>
      <c r="D16" t="n">
        <v>0.01</v>
      </c>
    </row>
    <row r="17">
      <c r="A17" t="n">
        <v>8</v>
      </c>
      <c r="B17" t="inlineStr">
        <is>
          <t>phistopthresh</t>
        </is>
      </c>
      <c r="C17" t="n">
        <v>0</v>
      </c>
      <c r="D17" t="n">
        <v>0.5</v>
      </c>
    </row>
    <row r="18">
      <c r="A18" t="n">
        <v>9</v>
      </c>
      <c r="B18" t="inlineStr">
        <is>
          <t>ires</t>
        </is>
      </c>
      <c r="D18" t="n">
        <v>1</v>
      </c>
    </row>
    <row r="19">
      <c r="A19" t="n">
        <v>9</v>
      </c>
      <c r="B19" t="inlineStr">
        <is>
          <t>jcosave</t>
        </is>
      </c>
      <c r="C19" t="inlineStr">
        <is>
          <t>jcosave</t>
        </is>
      </c>
      <c r="D19" t="inlineStr">
        <is>
          <t>jcosave</t>
        </is>
      </c>
    </row>
    <row r="20">
      <c r="A20" t="n">
        <v>9</v>
      </c>
      <c r="B20" t="inlineStr">
        <is>
          <t>rrfsave</t>
        </is>
      </c>
      <c r="C20" t="inlineStr">
        <is>
          <t>rrfsave</t>
        </is>
      </c>
      <c r="D20" t="inlineStr">
        <is>
          <t>rrfsave</t>
        </is>
      </c>
    </row>
    <row r="21">
      <c r="A21" t="n">
        <v>0</v>
      </c>
      <c r="B21" t="inlineStr">
        <is>
          <t>svdmode</t>
        </is>
      </c>
      <c r="C21" t="n">
        <v>1</v>
      </c>
      <c r="D21" t="n">
        <v>2</v>
      </c>
    </row>
    <row r="22">
      <c r="A22" t="n">
        <v>0</v>
      </c>
      <c r="B22" t="inlineStr">
        <is>
          <t>maxsing</t>
        </is>
      </c>
      <c r="C22" t="n">
        <v>10000</v>
      </c>
      <c r="D22" t="n">
        <v>50</v>
      </c>
    </row>
    <row r="23">
      <c r="A23" t="n">
        <v>0</v>
      </c>
      <c r="B23" t="inlineStr">
        <is>
          <t>phimlim</t>
        </is>
      </c>
      <c r="C23" t="n">
        <v>0.1</v>
      </c>
      <c r="D23" t="n">
        <v>5</v>
      </c>
    </row>
    <row r="24">
      <c r="A24" t="n">
        <v>0</v>
      </c>
      <c r="B24" t="inlineStr">
        <is>
          <t>wfinit</t>
        </is>
      </c>
      <c r="C24" t="n">
        <v>1</v>
      </c>
      <c r="D24" t="n">
        <v>0.5</v>
      </c>
    </row>
    <row r="25">
      <c r="A25" t="n">
        <v>0</v>
      </c>
      <c r="B25" t="inlineStr">
        <is>
          <t>npar</t>
        </is>
      </c>
      <c r="D25" t="n">
        <v>999</v>
      </c>
    </row>
    <row r="26">
      <c r="A26" t="n">
        <v>0</v>
      </c>
      <c r="B26" t="inlineStr">
        <is>
          <t>not_a_variable</t>
        </is>
      </c>
      <c r="D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PARGPNME</t>
        </is>
      </c>
      <c r="B1" t="inlineStr">
        <is>
          <t>INCTYP</t>
        </is>
      </c>
      <c r="C1" t="inlineStr">
        <is>
          <t>DERINC</t>
        </is>
      </c>
      <c r="D1" t="inlineStr">
        <is>
          <t>DERINCLB</t>
        </is>
      </c>
      <c r="E1" t="inlineStr">
        <is>
          <t>FORCEN</t>
        </is>
      </c>
      <c r="F1" t="inlineStr">
        <is>
          <t>DERINCMUL</t>
        </is>
      </c>
      <c r="G1" t="inlineStr">
        <is>
          <t>DERMTHD</t>
        </is>
      </c>
    </row>
    <row r="2">
      <c r="A2" t="inlineStr">
        <is>
          <t>hk</t>
        </is>
      </c>
      <c r="B2" t="inlineStr">
        <is>
          <t>relative</t>
        </is>
      </c>
      <c r="C2" t="n">
        <v>0.1</v>
      </c>
      <c r="D2" t="n">
        <v>0</v>
      </c>
      <c r="E2" t="inlineStr">
        <is>
          <t>always_2</t>
        </is>
      </c>
      <c r="F2" t="n">
        <v>2</v>
      </c>
      <c r="G2" t="inlineStr">
        <is>
          <t>parabolic</t>
        </is>
      </c>
    </row>
    <row r="3">
      <c r="A3" t="inlineStr">
        <is>
          <t>sy</t>
        </is>
      </c>
      <c r="B3" t="inlineStr">
        <is>
          <t>relative</t>
        </is>
      </c>
      <c r="C3" t="n">
        <v>0.1</v>
      </c>
      <c r="D3" t="n">
        <v>0</v>
      </c>
      <c r="E3" t="inlineStr">
        <is>
          <t>always_2</t>
        </is>
      </c>
      <c r="F3" t="n">
        <v>2</v>
      </c>
      <c r="G3" t="inlineStr">
        <is>
          <t>parabolic</t>
        </is>
      </c>
    </row>
    <row r="4">
      <c r="A4" t="inlineStr">
        <is>
          <t>rch</t>
        </is>
      </c>
      <c r="B4" t="inlineStr">
        <is>
          <t>absolute</t>
        </is>
      </c>
      <c r="C4" t="n">
        <v>0.01</v>
      </c>
      <c r="D4" t="n">
        <v>0</v>
      </c>
      <c r="E4" t="inlineStr">
        <is>
          <t>always_2</t>
        </is>
      </c>
      <c r="F4" t="n">
        <v>2</v>
      </c>
      <c r="G4" t="inlineStr">
        <is>
          <t>parabolic</t>
        </is>
      </c>
    </row>
    <row r="5">
      <c r="A5" t="inlineStr">
        <is>
          <t>unused</t>
        </is>
      </c>
      <c r="B5" t="inlineStr">
        <is>
          <t>relative</t>
        </is>
      </c>
      <c r="C5" t="n">
        <v>0.1</v>
      </c>
      <c r="D5" t="n">
        <v>0</v>
      </c>
      <c r="E5" t="inlineStr">
        <is>
          <t>switch</t>
        </is>
      </c>
      <c r="F5" t="n">
        <v>2</v>
      </c>
      <c r="G5" t="inlineStr">
        <is>
          <t>parabolic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PARNME</t>
        </is>
      </c>
      <c r="B1" t="inlineStr">
        <is>
          <t>PARTRANS</t>
        </is>
      </c>
      <c r="C1" t="inlineStr">
        <is>
          <t>PARCHGLIM</t>
        </is>
      </c>
      <c r="D1" t="inlineStr">
        <is>
          <t>PARVAL1</t>
        </is>
      </c>
      <c r="E1" t="inlineStr">
        <is>
          <t>PARLBND</t>
        </is>
      </c>
      <c r="F1" t="inlineStr">
        <is>
          <t>PARUBND</t>
        </is>
      </c>
      <c r="G1" t="inlineStr">
        <is>
          <t>PARGP</t>
        </is>
      </c>
      <c r="H1" t="inlineStr">
        <is>
          <t>SCALE</t>
        </is>
      </c>
      <c r="I1" t="inlineStr">
        <is>
          <t>OFFSET</t>
        </is>
      </c>
      <c r="J1" t="inlineStr">
        <is>
          <t>DERCOM</t>
        </is>
      </c>
      <c r="K1" t="inlineStr">
        <is>
          <t>Layer</t>
        </is>
      </c>
      <c r="L1" t="inlineStr">
        <is>
          <t>Tieto</t>
        </is>
      </c>
      <c r="M1" t="inlineStr">
        <is>
          <t>NativeVal</t>
        </is>
      </c>
      <c r="N1" t="inlineStr">
        <is>
          <t>PRIOR</t>
        </is>
      </c>
      <c r="O1" t="inlineStr">
        <is>
          <t>WEIGHT</t>
        </is>
      </c>
      <c r="P1" t="inlineStr">
        <is>
          <t>comment</t>
        </is>
      </c>
    </row>
    <row r="2">
      <c r="A2" t="inlineStr">
        <is>
          <t>HK1_cc01</t>
        </is>
      </c>
      <c r="B2" t="inlineStr">
        <is>
          <t>log</t>
        </is>
      </c>
      <c r="C2" t="inlineStr">
        <is>
          <t>factor</t>
        </is>
      </c>
      <c r="D2" t="n">
        <v>49.73775</v>
      </c>
      <c r="E2" t="n">
        <v>1</v>
      </c>
      <c r="F2" t="n">
        <v>300</v>
      </c>
      <c r="G2" t="inlineStr">
        <is>
          <t>hk</t>
        </is>
      </c>
      <c r="H2" t="n">
        <v>1</v>
      </c>
      <c r="I2" t="n">
        <v>0</v>
      </c>
      <c r="J2" t="n">
        <v>1</v>
      </c>
      <c r="K2">
        <f>INT(MID(A2,3,1))</f>
        <v/>
      </c>
      <c r="L2" t="inlineStr">
        <is>
          <t>hk1_cc01</t>
        </is>
      </c>
      <c r="M2">
        <f>D2*H2+I2</f>
        <v/>
      </c>
      <c r="N2" t="inlineStr">
        <is>
          <t>hk1_cc03</t>
        </is>
      </c>
      <c r="O2" t="n">
        <v>2</v>
      </c>
      <c r="P2" t="inlineStr">
        <is>
          <t>prior to another</t>
        </is>
      </c>
    </row>
    <row r="3">
      <c r="A3" t="inlineStr">
        <is>
          <t>hk1_cc02</t>
        </is>
      </c>
      <c r="B3" t="inlineStr">
        <is>
          <t>tied</t>
        </is>
      </c>
      <c r="C3" t="inlineStr">
        <is>
          <t>factor</t>
        </is>
      </c>
      <c r="D3" t="n">
        <v>90.26792</v>
      </c>
      <c r="E3" t="n">
        <v>1</v>
      </c>
      <c r="F3" t="n">
        <v>300</v>
      </c>
      <c r="G3" t="inlineStr">
        <is>
          <t>hk</t>
        </is>
      </c>
      <c r="H3" t="n">
        <v>1</v>
      </c>
      <c r="I3" t="n">
        <v>0</v>
      </c>
      <c r="J3" t="n">
        <v>1</v>
      </c>
      <c r="K3">
        <f>INT(MID(A3,3,1))</f>
        <v/>
      </c>
      <c r="L3" t="inlineStr">
        <is>
          <t>hk1_cc01</t>
        </is>
      </c>
      <c r="M3">
        <f>D3*H3+I3</f>
        <v/>
      </c>
      <c r="N3" t="inlineStr">
        <is>
          <t>hk1_cc01</t>
        </is>
      </c>
      <c r="O3" t="n">
        <v>2</v>
      </c>
      <c r="P3" t="inlineStr">
        <is>
          <t>tied</t>
        </is>
      </c>
    </row>
    <row r="4">
      <c r="A4" t="inlineStr">
        <is>
          <t>hk1_cc03</t>
        </is>
      </c>
      <c r="B4" t="inlineStr">
        <is>
          <t>log</t>
        </is>
      </c>
      <c r="C4" t="inlineStr">
        <is>
          <t>factor</t>
        </is>
      </c>
      <c r="D4" t="n">
        <v>123.8187</v>
      </c>
      <c r="E4" t="n">
        <v>1</v>
      </c>
      <c r="F4" t="n">
        <v>300</v>
      </c>
      <c r="G4" t="inlineStr">
        <is>
          <t>hk</t>
        </is>
      </c>
      <c r="H4" t="n">
        <v>1</v>
      </c>
      <c r="I4" t="n">
        <v>0</v>
      </c>
      <c r="J4" t="n">
        <v>1</v>
      </c>
      <c r="K4">
        <f>INT(MID(A4,3,1))</f>
        <v/>
      </c>
      <c r="L4" t="inlineStr">
        <is>
          <t>hk1_cc03</t>
        </is>
      </c>
      <c r="M4">
        <f>D4*H4+I4</f>
        <v/>
      </c>
      <c r="N4" t="n">
        <v>100</v>
      </c>
      <c r="O4" t="n">
        <v>1</v>
      </c>
      <c r="P4" t="inlineStr">
        <is>
          <t>numeric prior</t>
        </is>
      </c>
    </row>
    <row r="5">
      <c r="A5" t="inlineStr">
        <is>
          <t>hk1_cc04</t>
        </is>
      </c>
      <c r="B5" t="inlineStr">
        <is>
          <t>fixed</t>
        </is>
      </c>
      <c r="C5" t="inlineStr">
        <is>
          <t>factor</t>
        </is>
      </c>
      <c r="D5" t="n">
        <v>0.001007841</v>
      </c>
      <c r="E5" t="n">
        <v>1e-05</v>
      </c>
      <c r="F5" t="n">
        <v>0.9</v>
      </c>
      <c r="G5" t="inlineStr">
        <is>
          <t>hk</t>
        </is>
      </c>
      <c r="H5" t="n">
        <v>1</v>
      </c>
      <c r="I5" t="n">
        <v>0</v>
      </c>
      <c r="J5" t="n">
        <v>1</v>
      </c>
      <c r="K5">
        <f>INT(MID(A5,3,1))</f>
        <v/>
      </c>
      <c r="L5" t="inlineStr">
        <is>
          <t>hk1_cc04</t>
        </is>
      </c>
      <c r="M5">
        <f>D5*H5+I5</f>
        <v/>
      </c>
      <c r="N5" t="inlineStr">
        <is>
          <t>hk1_cc03</t>
        </is>
      </c>
      <c r="O5" t="n">
        <v>1</v>
      </c>
      <c r="P5" t="inlineStr">
        <is>
          <t>fixed: prior dropped</t>
        </is>
      </c>
    </row>
    <row r="6">
      <c r="A6" t="inlineStr">
        <is>
          <t>hk1_cc05</t>
        </is>
      </c>
      <c r="B6" t="inlineStr">
        <is>
          <t>tied</t>
        </is>
      </c>
      <c r="C6" t="inlineStr">
        <is>
          <t>factor</t>
        </is>
      </c>
      <c r="D6" t="n">
        <v>5</v>
      </c>
      <c r="E6" t="n">
        <v>1</v>
      </c>
      <c r="F6" t="n">
        <v>300</v>
      </c>
      <c r="G6" t="inlineStr">
        <is>
          <t>hk</t>
        </is>
      </c>
      <c r="H6" t="n">
        <v>1</v>
      </c>
      <c r="I6" t="n">
        <v>0</v>
      </c>
      <c r="J6" t="n">
        <v>1</v>
      </c>
      <c r="K6">
        <f>INT(MID(A6,3,1))</f>
        <v/>
      </c>
      <c r="L6" t="inlineStr">
        <is>
          <t>hk1_cc04</t>
        </is>
      </c>
      <c r="M6">
        <f>D6*H6+I6</f>
        <v/>
      </c>
      <c r="P6" t="inlineStr">
        <is>
          <t>tied to fixed -&gt; fixed</t>
        </is>
      </c>
    </row>
    <row r="7">
      <c r="A7" t="inlineStr">
        <is>
          <t>hk1_cc06</t>
        </is>
      </c>
      <c r="B7" t="inlineStr">
        <is>
          <t>log</t>
        </is>
      </c>
      <c r="C7" t="inlineStr">
        <is>
          <t>factor</t>
        </is>
      </c>
      <c r="D7" t="n">
        <v>7.5</v>
      </c>
      <c r="E7" t="n">
        <v>1</v>
      </c>
      <c r="F7" t="n">
        <v>300</v>
      </c>
      <c r="G7" t="inlineStr">
        <is>
          <t>hk</t>
        </is>
      </c>
      <c r="H7" t="n">
        <v>1</v>
      </c>
      <c r="I7" t="n">
        <v>0</v>
      </c>
      <c r="J7" t="n">
        <v>1</v>
      </c>
      <c r="K7">
        <f>INT(MID(A7,3,1))</f>
        <v/>
      </c>
      <c r="L7" t="inlineStr">
        <is>
          <t>hk1_cc06</t>
        </is>
      </c>
      <c r="M7">
        <f>D7*H7+I7</f>
        <v/>
      </c>
      <c r="N7" t="inlineStr">
        <is>
          <t>hk1_cc01</t>
        </is>
      </c>
      <c r="O7" t="n">
        <v>0</v>
      </c>
      <c r="P7" t="inlineStr">
        <is>
          <t>zero weight: no prior</t>
        </is>
      </c>
    </row>
    <row r="8">
      <c r="P8" t="inlineStr">
        <is>
          <t>blank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PARNME</t>
        </is>
      </c>
      <c r="B1" t="inlineStr">
        <is>
          <t>PARTRANS</t>
        </is>
      </c>
      <c r="C1" t="inlineStr">
        <is>
          <t>PARCHGLIM</t>
        </is>
      </c>
      <c r="D1" t="inlineStr">
        <is>
          <t>PARVAL1</t>
        </is>
      </c>
      <c r="E1" t="inlineStr">
        <is>
          <t>PARLBND</t>
        </is>
      </c>
      <c r="F1" t="inlineStr">
        <is>
          <t>PARUBND</t>
        </is>
      </c>
      <c r="G1" t="inlineStr">
        <is>
          <t>PARGP</t>
        </is>
      </c>
      <c r="H1" t="inlineStr">
        <is>
          <t>SCALE</t>
        </is>
      </c>
      <c r="I1" t="inlineStr">
        <is>
          <t>OFFSET</t>
        </is>
      </c>
      <c r="J1" t="inlineStr">
        <is>
          <t>DERCOM</t>
        </is>
      </c>
      <c r="K1" t="inlineStr">
        <is>
          <t>Layer</t>
        </is>
      </c>
      <c r="L1" t="inlineStr">
        <is>
          <t>Tieto</t>
        </is>
      </c>
      <c r="M1" t="inlineStr">
        <is>
          <t>NativeVal</t>
        </is>
      </c>
      <c r="N1" t="inlineStr">
        <is>
          <t>PRIOR</t>
        </is>
      </c>
      <c r="O1" t="inlineStr">
        <is>
          <t>WEIGHT</t>
        </is>
      </c>
      <c r="P1" t="inlineStr">
        <is>
          <t>comment</t>
        </is>
      </c>
    </row>
    <row r="2">
      <c r="A2" t="inlineStr">
        <is>
          <t>sy1_cc01</t>
        </is>
      </c>
      <c r="B2" t="inlineStr">
        <is>
          <t>log</t>
        </is>
      </c>
      <c r="C2" t="inlineStr">
        <is>
          <t>factor</t>
        </is>
      </c>
      <c r="D2" t="n">
        <v>0.15</v>
      </c>
      <c r="E2" t="n">
        <v>0.01</v>
      </c>
      <c r="F2" t="n">
        <v>0.35</v>
      </c>
      <c r="G2" t="inlineStr">
        <is>
          <t>sy</t>
        </is>
      </c>
      <c r="H2" t="n">
        <v>1</v>
      </c>
      <c r="I2" t="n">
        <v>0</v>
      </c>
      <c r="J2" t="n">
        <v>1</v>
      </c>
      <c r="K2">
        <f>INT(MID(A2,3,1))</f>
        <v/>
      </c>
      <c r="L2" t="inlineStr">
        <is>
          <t>sy1_cc01</t>
        </is>
      </c>
      <c r="M2">
        <f>D2*H2+I2</f>
        <v/>
      </c>
      <c r="N2" t="inlineStr">
        <is>
          <t>sy1_cc02</t>
        </is>
      </c>
      <c r="O2" t="n">
        <v>1</v>
      </c>
    </row>
    <row r="3">
      <c r="A3" t="inlineStr">
        <is>
          <t>sy1_cc02</t>
        </is>
      </c>
      <c r="B3" t="inlineStr">
        <is>
          <t>log</t>
        </is>
      </c>
      <c r="C3" t="inlineStr">
        <is>
          <t>factor</t>
        </is>
      </c>
      <c r="D3" t="n">
        <v>0.12</v>
      </c>
      <c r="E3" t="n">
        <v>0.01</v>
      </c>
      <c r="F3" t="n">
        <v>0.35</v>
      </c>
      <c r="G3" t="inlineStr">
        <is>
          <t>sy</t>
        </is>
      </c>
      <c r="H3" t="n">
        <v>1</v>
      </c>
      <c r="I3" t="n">
        <v>0</v>
      </c>
      <c r="J3" t="n">
        <v>1</v>
      </c>
      <c r="K3">
        <f>INT(MID(A3,3,1))</f>
        <v/>
      </c>
      <c r="L3" t="inlineStr">
        <is>
          <t>sy1_cc02</t>
        </is>
      </c>
      <c r="M3">
        <f>D3*H3+I3</f>
        <v/>
      </c>
      <c r="N3" t="n">
        <v>0.2</v>
      </c>
      <c r="O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PARNME</t>
        </is>
      </c>
      <c r="B1" t="inlineStr">
        <is>
          <t>PARTRANS</t>
        </is>
      </c>
      <c r="C1" t="inlineStr">
        <is>
          <t>PARCHGLIM</t>
        </is>
      </c>
      <c r="D1" t="inlineStr">
        <is>
          <t>PARVAL1</t>
        </is>
      </c>
      <c r="E1" t="inlineStr">
        <is>
          <t>PARLBND</t>
        </is>
      </c>
      <c r="F1" t="inlineStr">
        <is>
          <t>PARUBND</t>
        </is>
      </c>
      <c r="G1" t="inlineStr">
        <is>
          <t>PARGP</t>
        </is>
      </c>
      <c r="H1" t="inlineStr">
        <is>
          <t>SCALE</t>
        </is>
      </c>
      <c r="I1" t="inlineStr">
        <is>
          <t>OFFSET</t>
        </is>
      </c>
      <c r="J1" t="inlineStr">
        <is>
          <t>DERCOM</t>
        </is>
      </c>
      <c r="K1" t="inlineStr">
        <is>
          <t>Layer</t>
        </is>
      </c>
      <c r="L1" t="inlineStr">
        <is>
          <t>Tieto</t>
        </is>
      </c>
      <c r="M1" t="inlineStr">
        <is>
          <t>NativeVal</t>
        </is>
      </c>
      <c r="N1" t="inlineStr">
        <is>
          <t>PRIOR</t>
        </is>
      </c>
      <c r="O1" t="inlineStr">
        <is>
          <t>WEIGHT</t>
        </is>
      </c>
      <c r="P1" t="inlineStr">
        <is>
          <t>comment</t>
        </is>
      </c>
    </row>
    <row r="2">
      <c r="A2" t="inlineStr">
        <is>
          <t>rchss</t>
        </is>
      </c>
      <c r="B2" t="inlineStr">
        <is>
          <t>none</t>
        </is>
      </c>
      <c r="C2" t="inlineStr">
        <is>
          <t>absolute(1)</t>
        </is>
      </c>
      <c r="D2" t="n">
        <v>0.3428223</v>
      </c>
      <c r="E2" t="n">
        <v>0.08</v>
      </c>
      <c r="F2" t="n">
        <v>1</v>
      </c>
      <c r="G2" t="inlineStr">
        <is>
          <t>rch</t>
        </is>
      </c>
      <c r="H2" t="n">
        <v>1</v>
      </c>
      <c r="I2" t="n">
        <v>0</v>
      </c>
      <c r="J2" t="n">
        <v>1</v>
      </c>
      <c r="K2">
        <f>INT(MID(A2,3,1))</f>
        <v/>
      </c>
      <c r="M2">
        <f>D2*H2+I2</f>
        <v/>
      </c>
      <c r="N2" t="n">
        <v>0.35</v>
      </c>
      <c r="O2" t="n">
        <v>10</v>
      </c>
    </row>
    <row r="3">
      <c r="A3" t="inlineStr">
        <is>
          <t>rch2002</t>
        </is>
      </c>
      <c r="B3" t="inlineStr">
        <is>
          <t>log</t>
        </is>
      </c>
      <c r="C3" t="inlineStr">
        <is>
          <t>factor</t>
        </is>
      </c>
      <c r="D3" t="n">
        <v>0.87</v>
      </c>
      <c r="E3" t="n">
        <v>0.5</v>
      </c>
      <c r="F3" t="n">
        <v>1.5</v>
      </c>
      <c r="G3" t="inlineStr">
        <is>
          <t>rch</t>
        </is>
      </c>
      <c r="H3" t="n">
        <v>1</v>
      </c>
      <c r="I3" t="n">
        <v>0</v>
      </c>
      <c r="J3" t="n">
        <v>1</v>
      </c>
      <c r="K3">
        <f>INT(MID(A3,3,1))</f>
        <v/>
      </c>
      <c r="M3">
        <f>D3*H3+I3</f>
        <v/>
      </c>
      <c r="N3" t="n">
        <v>1</v>
      </c>
      <c r="O3" t="n">
        <v>5</v>
      </c>
    </row>
    <row r="4">
      <c r="A4" t="inlineStr">
        <is>
          <t>dg00025</t>
        </is>
      </c>
      <c r="B4" t="inlineStr">
        <is>
          <t>none</t>
        </is>
      </c>
      <c r="C4" t="inlineStr">
        <is>
          <t>absolute(2)</t>
        </is>
      </c>
      <c r="D4" t="n">
        <v>1000</v>
      </c>
      <c r="E4" t="n">
        <v>900</v>
      </c>
      <c r="F4" t="n">
        <v>1100</v>
      </c>
      <c r="G4" t="inlineStr">
        <is>
          <t>rch</t>
        </is>
      </c>
      <c r="H4" t="n">
        <v>1</v>
      </c>
      <c r="I4" t="n">
        <v>-1000</v>
      </c>
      <c r="J4" t="n">
        <v>1</v>
      </c>
      <c r="K4">
        <f>INT(MID(A4,3,1))</f>
        <v/>
      </c>
      <c r="M4">
        <f>D4*H4+I4</f>
        <v/>
      </c>
      <c r="P4" t="inlineStr">
        <is>
          <t>offset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OBSNME</t>
        </is>
      </c>
      <c r="B1" t="inlineStr">
        <is>
          <t>OBSVAL</t>
        </is>
      </c>
      <c r="C1" t="inlineStr">
        <is>
          <t>WEIGHT</t>
        </is>
      </c>
      <c r="D1" t="inlineStr">
        <is>
          <t>OBGNME</t>
        </is>
      </c>
      <c r="E1" t="inlineStr">
        <is>
          <t>Site</t>
        </is>
      </c>
      <c r="F1" t="inlineStr">
        <is>
          <t>used</t>
        </is>
      </c>
    </row>
    <row r="2">
      <c r="A2" t="inlineStr">
        <is>
          <t>MR1158636_197611</t>
        </is>
      </c>
      <c r="B2" t="n">
        <v>2542.59</v>
      </c>
      <c r="C2" t="n">
        <v>0.15</v>
      </c>
      <c r="D2" t="inlineStr">
        <is>
          <t>HEAD</t>
        </is>
      </c>
      <c r="E2" t="inlineStr">
        <is>
          <t>MR1158636</t>
        </is>
      </c>
      <c r="F2">
        <f>B2*C2</f>
        <v/>
      </c>
    </row>
    <row r="3">
      <c r="A3" t="inlineStr">
        <is>
          <t>mr1158636_197705</t>
        </is>
      </c>
      <c r="B3" t="n">
        <v>2542.19</v>
      </c>
      <c r="C3" t="n">
        <v>0.15</v>
      </c>
      <c r="D3" t="inlineStr">
        <is>
          <t>head</t>
        </is>
      </c>
      <c r="E3" t="inlineStr">
        <is>
          <t>MR1158636</t>
        </is>
      </c>
      <c r="F3">
        <f>B3*C3</f>
        <v/>
      </c>
    </row>
    <row r="4">
      <c r="A4" t="inlineStr">
        <is>
          <t>mr1322063_000000</t>
        </is>
      </c>
      <c r="B4" t="n">
        <v>2865.475129</v>
      </c>
      <c r="C4" t="n">
        <v>0</v>
      </c>
      <c r="D4" t="inlineStr">
        <is>
          <t>headss</t>
        </is>
      </c>
      <c r="E4" t="inlineStr">
        <is>
          <t>MR1322063</t>
        </is>
      </c>
      <c r="F4">
        <f>B4*C4</f>
        <v/>
      </c>
    </row>
    <row r="5">
      <c r="A5" t="inlineStr">
        <is>
          <t>mr1332090_000000</t>
        </is>
      </c>
      <c r="B5" t="n">
        <v>-999</v>
      </c>
      <c r="C5" t="n">
        <v>0</v>
      </c>
      <c r="D5" t="inlineStr">
        <is>
          <t>headss</t>
        </is>
      </c>
      <c r="E5" t="inlineStr">
        <is>
          <t>MR1332090</t>
        </is>
      </c>
      <c r="F5">
        <f>B5*C5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OBSNME</t>
        </is>
      </c>
      <c r="B1" t="inlineStr">
        <is>
          <t>OBSVAL</t>
        </is>
      </c>
      <c r="C1" t="inlineStr">
        <is>
          <t>WEIGHT</t>
        </is>
      </c>
      <c r="D1" t="inlineStr">
        <is>
          <t>OBGNME</t>
        </is>
      </c>
      <c r="E1" t="inlineStr">
        <is>
          <t>Site</t>
        </is>
      </c>
      <c r="F1" t="inlineStr">
        <is>
          <t>used</t>
        </is>
      </c>
    </row>
    <row r="2">
      <c r="A2" t="inlineStr">
        <is>
          <t>qbs_2010</t>
        </is>
      </c>
      <c r="B2" t="n">
        <v>1234567.891</v>
      </c>
      <c r="C2" t="n">
        <v>1e-06</v>
      </c>
      <c r="D2" t="inlineStr">
        <is>
          <t>qbs</t>
        </is>
      </c>
      <c r="F2">
        <f>B2*C2</f>
        <v/>
      </c>
    </row>
    <row r="3">
      <c r="A3" t="inlineStr">
        <is>
          <t>lhss202211</t>
        </is>
      </c>
      <c r="B3" t="n">
        <v>2727.77</v>
      </c>
      <c r="C3" t="n">
        <v>0.2</v>
      </c>
      <c r="D3" t="inlineStr">
        <is>
          <t>lhss</t>
        </is>
      </c>
      <c r="F3">
        <f>B3*C3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in</t>
        </is>
      </c>
      <c r="C1" t="inlineStr">
        <is>
          <t>out</t>
        </is>
      </c>
    </row>
    <row r="2">
      <c r="A2" t="inlineStr">
        <is>
          <t>cmd</t>
        </is>
      </c>
      <c r="B2" t="inlineStr">
        <is>
          <t>00_RunModel.bat</t>
        </is>
      </c>
      <c r="C2" t="inlineStr">
        <is>
          <t>tr</t>
        </is>
      </c>
    </row>
    <row r="3">
      <c r="A3" t="inlineStr">
        <is>
          <t>tpl</t>
        </is>
      </c>
      <c r="B3" t="inlineStr">
        <is>
          <t>PEST\pphk.tpl</t>
        </is>
      </c>
      <c r="C3" t="inlineStr">
        <is>
          <t>ppl\pphk.csv</t>
        </is>
      </c>
    </row>
    <row r="4">
      <c r="A4" t="inlineStr">
        <is>
          <t>tpl</t>
        </is>
      </c>
      <c r="B4" t="inlineStr">
        <is>
          <t>PEST\ppsy.tpl</t>
        </is>
      </c>
      <c r="C4" t="inlineStr">
        <is>
          <t>ppl\ppsy.csv</t>
        </is>
      </c>
    </row>
    <row r="5">
      <c r="A5" t="inlineStr">
        <is>
          <t>tpl</t>
        </is>
      </c>
      <c r="B5" t="inlineStr">
        <is>
          <t>PEST\rch.tpl</t>
        </is>
      </c>
      <c r="C5" t="inlineStr">
        <is>
          <t>RCH\rch.csv</t>
        </is>
      </c>
    </row>
    <row r="6">
      <c r="A6" t="inlineStr">
        <is>
          <t>ins</t>
        </is>
      </c>
      <c r="B6" t="inlineStr">
        <is>
          <t>PEST\head.ins</t>
        </is>
      </c>
      <c r="C6" t="inlineStr">
        <is>
          <t>TR\Output.head</t>
        </is>
      </c>
    </row>
    <row r="7">
      <c r="A7" t="inlineStr">
        <is>
          <t>ins</t>
        </is>
      </c>
      <c r="B7" t="inlineStr">
        <is>
          <t>PEST\flow.ins</t>
        </is>
      </c>
      <c r="C7" t="inlineStr">
        <is>
          <t>TR\Output.flow</t>
        </is>
      </c>
    </row>
    <row r="8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pp_var</t>
        </is>
      </c>
      <c r="B1" t="inlineStr">
        <is>
          <t>val</t>
        </is>
      </c>
      <c r="C1" t="inlineStr">
        <is>
          <t>note</t>
        </is>
      </c>
    </row>
    <row r="2">
      <c r="A2" t="inlineStr">
        <is>
          <t>overdue_resched_fac</t>
        </is>
      </c>
      <c r="B2" t="n">
        <v>3</v>
      </c>
      <c r="C2" t="inlineStr">
        <is>
          <t>real</t>
        </is>
      </c>
    </row>
    <row r="3">
      <c r="A3" t="inlineStr">
        <is>
          <t>overdue_giveup_fac</t>
        </is>
      </c>
      <c r="C3" t="inlineStr">
        <is>
          <t>blank: skipped</t>
        </is>
      </c>
    </row>
    <row r="4">
      <c r="A4" t="inlineStr">
        <is>
          <t>lambdas</t>
        </is>
      </c>
      <c r="B4" t="inlineStr">
        <is>
          <t>0.1,1,10,100</t>
        </is>
      </c>
      <c r="C4" t="inlineStr">
        <is>
          <t>text</t>
        </is>
      </c>
    </row>
    <row r="5">
      <c r="A5" t="inlineStr">
        <is>
          <t>max_run_fail</t>
        </is>
      </c>
      <c r="B5" t="n">
        <v>2</v>
      </c>
      <c r="C5" t="inlineStr">
        <is>
          <t>int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COMMAND</t>
        </is>
      </c>
    </row>
    <row r="2">
      <c r="A2" t="inlineStr">
        <is>
          <t>python makePst.py demo.pst regul</t>
        </is>
      </c>
    </row>
    <row r="3">
      <c r="A3" t="inlineStr">
        <is>
          <t>--set_ctl_xls demo.xlsx,CONTROL</t>
        </is>
      </c>
    </row>
    <row r="4">
      <c r="A4" t="inlineStr">
        <is>
          <t>--add_pargp_xls demo.xlsx,PARGP</t>
        </is>
      </c>
    </row>
    <row r="5">
      <c r="A5" t="inlineStr">
        <is>
          <t>--add_par_xls demo.xlsx,PAR_HK</t>
        </is>
      </c>
    </row>
    <row r="6">
      <c r="A6" t="inlineStr">
        <is>
          <t>--add_par_xls demo.xlsx,PAR_SY</t>
        </is>
      </c>
    </row>
    <row r="7">
      <c r="A7" t="inlineStr">
        <is>
          <t>--add_par_xls demo.xlsx,PAR_RCH</t>
        </is>
      </c>
    </row>
    <row r="8">
      <c r="A8" t="inlineStr">
        <is>
          <t>--add_obs_xls demo.xlsx,OBS_HEAD</t>
        </is>
      </c>
    </row>
    <row r="9">
      <c r="A9" t="inlineStr">
        <is>
          <t>--add_obs_xls demo.xlsx,OBS_FLOW</t>
        </is>
      </c>
    </row>
    <row r="10">
      <c r="A10" t="inlineStr">
        <is>
          <t>--add_io_xls demo.xlsx,IO</t>
        </is>
      </c>
    </row>
    <row r="11">
      <c r="A11" t="inlineStr">
        <is>
          <t>--add_pp_xls demo.xlsx,PPcntl</t>
        </is>
      </c>
    </row>
    <row r="12">
      <c r="A12" t="inlineStr">
        <is>
          <t>--add_comment "demo01 synthetic fixture"</t>
        </is>
      </c>
    </row>
    <row r="13">
      <c r="A13" t="inlineStr">
        <is>
          <t>--add_comment "demo02 second history line"</t>
        </is>
      </c>
    </row>
    <row r="14">
      <c r="A14" t="inlineStr">
        <is>
          <t>--no_dump_tpl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2026-09-19T17:26:15Z</dcterms:created>
  <dcterms:modified xmlns:dcterms="http://purl.org/dc/terms/" xmlns:xsi="http://www.w3.org/2001/XMLSchema-instance" xsi:type="dcterms:W3CDTF">2026-09-19T17:26:15Z</dcterms:modified>
</cp:coreProperties>
</file>